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u\"/>
    </mc:Choice>
  </mc:AlternateContent>
  <xr:revisionPtr revIDLastSave="0" documentId="13_ncr:1_{43E8E878-BD52-4B04-A563-BB7719AA59E8}" xr6:coauthVersionLast="47" xr6:coauthVersionMax="47" xr10:uidLastSave="{00000000-0000-0000-0000-000000000000}"/>
  <bookViews>
    <workbookView xWindow="7785" yWindow="4110" windowWidth="26640" windowHeight="16755" activeTab="3" xr2:uid="{0F69AA75-2DEE-45DB-9DFB-317DE43A0200}"/>
  </bookViews>
  <sheets>
    <sheet name="Schedule" sheetId="1" r:id="rId1"/>
    <sheet name="Role &amp; Rule" sheetId="2" r:id="rId2"/>
    <sheet name="Crisis Event" sheetId="3" r:id="rId3"/>
    <sheet name="Rule Ban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J4" i="4"/>
  <c r="H4" i="4"/>
  <c r="B6" i="1"/>
  <c r="A7" i="1" s="1"/>
  <c r="B7" i="1" s="1"/>
  <c r="A9" i="1" s="1"/>
  <c r="B9" i="1" s="1"/>
  <c r="A10" i="1" s="1"/>
  <c r="B10" i="1" s="1"/>
  <c r="A12" i="1" s="1"/>
  <c r="B12" i="1" s="1"/>
  <c r="A13" i="1" s="1"/>
  <c r="B13" i="1" s="1"/>
  <c r="A14" i="1" s="1"/>
  <c r="B14" i="1" s="1"/>
  <c r="A15" i="1" s="1"/>
  <c r="B15" i="1" s="1"/>
  <c r="A16" i="1" s="1"/>
  <c r="B16" i="1" s="1"/>
  <c r="A17" i="1" s="1"/>
  <c r="B17" i="1" s="1"/>
  <c r="A18" i="1" s="1"/>
  <c r="B18" i="1" s="1"/>
  <c r="A19" i="1" s="1"/>
  <c r="B19" i="1" s="1"/>
</calcChain>
</file>

<file path=xl/sharedStrings.xml><?xml version="1.0" encoding="utf-8"?>
<sst xmlns="http://schemas.openxmlformats.org/spreadsheetml/2006/main" count="252" uniqueCount="150">
  <si>
    <t>กำหนดการและกิจกรรม WU workshop</t>
  </si>
  <si>
    <t>ระยะเวลา</t>
  </si>
  <si>
    <t>หัวข้อ</t>
  </si>
  <si>
    <t>รายละเอียดกิจกรรม</t>
  </si>
  <si>
    <t>PIC</t>
  </si>
  <si>
    <t>9:00-9:15</t>
  </si>
  <si>
    <t>แนะนำตัวผู้บรรยาย</t>
  </si>
  <si>
    <t>Tabuang Jandam</t>
  </si>
  <si>
    <t>Pech Chaiman</t>
  </si>
  <si>
    <t>Tabuang</t>
  </si>
  <si>
    <t>Pech</t>
  </si>
  <si>
    <t xml:space="preserve">แนะนำตัว
-ชื่อ
-รุ่นที่จบ
-สาขาวิชา
-ประวัติการทำงาน
- ตำแหน่งปัจจุบัน
</t>
  </si>
  <si>
    <t>Engage in project management &amp; Project proposals</t>
  </si>
  <si>
    <t>อธิบายเรื่องการเขียน Proposal</t>
  </si>
  <si>
    <t>AI for informantion work</t>
  </si>
  <si>
    <t>Assisst</t>
  </si>
  <si>
    <t>-การ Download และติดตั้ง Codex
-Demo การใช้งาน Codex</t>
  </si>
  <si>
    <t>Programing for fun (NodeJS)</t>
  </si>
  <si>
    <t>Variable</t>
  </si>
  <si>
    <t>Download and Installation NodeJS</t>
  </si>
  <si>
    <t>เริ่ม</t>
  </si>
  <si>
    <t>สิ้นสุด</t>
  </si>
  <si>
    <t>APIDog Installation</t>
  </si>
  <si>
    <t>-Explain
-Test</t>
  </si>
  <si>
    <t>Loop (For loop)</t>
  </si>
  <si>
    <t>-For loop
-Test</t>
  </si>
  <si>
    <t>IDE Installation (Vscode) + Extention for node systax</t>
  </si>
  <si>
    <t>มาเขียนโปรแกรมคำนวนเกรดกันเถอะ</t>
  </si>
  <si>
    <t>-Test</t>
  </si>
  <si>
    <t>IF ELSE</t>
  </si>
  <si>
    <t>Comparison Operations</t>
  </si>
  <si>
    <t>จัดกลุ่ม</t>
  </si>
  <si>
    <t>พัก</t>
  </si>
  <si>
    <t>9:15-10:30</t>
  </si>
  <si>
    <t>10:30-12:10</t>
  </si>
  <si>
    <t>Workshop Catch me if you can</t>
  </si>
  <si>
    <t>Computer notbook</t>
  </si>
  <si>
    <t>สิ่งที่นักศึกษาต้องเตรียมมา</t>
  </si>
  <si>
    <t>อุปกรณ์ที่ต้องใช้ในการบรรยาย และ Workshop</t>
  </si>
  <si>
    <t>แบงค์การ์โม่ 500,000</t>
  </si>
  <si>
    <t xml:space="preserve"> </t>
  </si>
  <si>
    <t>Position</t>
  </si>
  <si>
    <t>พบลูกค้า</t>
  </si>
  <si>
    <t>เสนอราคา</t>
  </si>
  <si>
    <t>ซื้อและขายสมาชิก</t>
  </si>
  <si>
    <t>ติดต่อธนาคารกลาง</t>
  </si>
  <si>
    <t xml:space="preserve">หัวหน้ากลุ่ม </t>
  </si>
  <si>
    <t xml:space="preserve">รองหัวหน้ากลุ่ม </t>
  </si>
  <si>
    <t xml:space="preserve">นักเขียนโปรแกรม </t>
  </si>
  <si>
    <t xml:space="preserve">นักออกแบบดีไซน์ </t>
  </si>
  <si>
    <t xml:space="preserve">นักทำเอกสาร </t>
  </si>
  <si>
    <t xml:space="preserve">นักทดสอบระบบ </t>
  </si>
  <si>
    <t xml:space="preserve">นัก Present </t>
  </si>
  <si>
    <t xml:space="preserve">นักประสานงาน </t>
  </si>
  <si>
    <t xml:space="preserve">ฝ่ายบุคคล </t>
  </si>
  <si>
    <t>ฝ่ายบัญชี</t>
  </si>
  <si>
    <t>Yes</t>
  </si>
  <si>
    <t>No</t>
  </si>
  <si>
    <t>นำเสนอผลงาน</t>
  </si>
  <si>
    <t>ติดต่อ Consult</t>
  </si>
  <si>
    <t>ติดต่อ HR กลาง</t>
  </si>
  <si>
    <t>ขอย้ายกลุ่ม</t>
  </si>
  <si>
    <t>Recovery Crisis</t>
  </si>
  <si>
    <t>หัวหน้ากลุ่ม ไล่ออก (จำนวน 1 คน)</t>
  </si>
  <si>
    <t>รองหัวหน้ากลุ่ม  ไล่ออก (จำนวน 1 คน)</t>
  </si>
  <si>
    <t>นัก Present  ไล่ออก (จำนวน 1 คน)</t>
  </si>
  <si>
    <t>นักประสานงาน  ไล่ออก (จำนวน 1 คน)</t>
  </si>
  <si>
    <t>ฝ่ายบุคคล  ไล่ออก (จำนวน 1 คน)</t>
  </si>
  <si>
    <t>ฝ่ายบัญชี ไล่ออก (จำนวน 1 คน)</t>
  </si>
  <si>
    <t>นักเขียนโปรแกรม  ไล่ออก (จำนวน X คน)</t>
  </si>
  <si>
    <t>นักออกแบบดีไซน์ ไล่ออก (จำนวน X คน)</t>
  </si>
  <si>
    <t>นักทำเอกสาร ไล่ออก (จำนวน X คน)</t>
  </si>
  <si>
    <t>นักทดสอบระบบ ไล่ออก (จำนวน X คน)</t>
  </si>
  <si>
    <t>Lay-off</t>
  </si>
  <si>
    <t>Terminate</t>
  </si>
  <si>
    <t>หัวหน้ากลุ่ม ลาออก (จำนวน 1 คน)</t>
  </si>
  <si>
    <t>รองหัวหน้ากลุ่ม  ลาออก (จำนวน 1 คน)</t>
  </si>
  <si>
    <t>นักเขียนโปรแกรม  ลาออก (จำนวน X คน)</t>
  </si>
  <si>
    <t>นักออกแบบดีไซน์ ลาออก (จำนวน X คน)</t>
  </si>
  <si>
    <t>นักทำเอกสาร ลาออก (จำนวน X คน)</t>
  </si>
  <si>
    <t>นักทดสอบระบบ ลาออก (จำนวน X คน)</t>
  </si>
  <si>
    <t>นัก Present ลาออก (จำนวน 1 คน)</t>
  </si>
  <si>
    <t>นักประสานงาน  ลาออก (จำนวน 1 คน)</t>
  </si>
  <si>
    <t>ฝ่ายบุคคล  ลาออก (จำนวน 1 คน)</t>
  </si>
  <si>
    <t>ฝ่ายบัญชี ลาออก (จำนวน 1 คน)</t>
  </si>
  <si>
    <t>Random Crisis</t>
  </si>
  <si>
    <t>ค่า Consult + 10 %</t>
  </si>
  <si>
    <t>ค่าเงินกู้ดอกแพงขึ้น + 5 %</t>
  </si>
  <si>
    <t>ค่าซื้อนักเขียนโปรแกรม + 10 %</t>
  </si>
  <si>
    <t>ค่าซื้อผ่าน HR + 10 %</t>
  </si>
  <si>
    <t>ค่าซื้อหัวหน้ากลุ่ม + 10 %</t>
  </si>
  <si>
    <t>ค่าซื้อรองหัวหน้ากลุ่ม  + 10 %</t>
  </si>
  <si>
    <t>ค่าซื้อนักประสานงาน + 10 %</t>
  </si>
  <si>
    <t>ค่าซื้อฝ่ายบุคคล + 10 %</t>
  </si>
  <si>
    <t>ค่าซื้อฝ่ายบัญชี + 10 %</t>
  </si>
  <si>
    <t>Environment</t>
  </si>
  <si>
    <t>ค่าตัว</t>
  </si>
  <si>
    <t xml:space="preserve"> เรียกเก็บภาษี จากทุกบริษัท 10%</t>
  </si>
  <si>
    <t xml:space="preserve">บังคับซื้อ </t>
  </si>
  <si>
    <t>ค่าซื้อนักทำเอกสาร  + 10 %</t>
  </si>
  <si>
    <t>ค่าซื้อนักออกแบบดีไซน์  + 10 %</t>
  </si>
  <si>
    <t>ค่าซื้อนักทดสอบระบบ  + 10 %</t>
  </si>
  <si>
    <t>ค่าซื้อนัก Present  + 10 %</t>
  </si>
  <si>
    <t xml:space="preserve">บังคับซื้อ นักเขียนโปรแกรม ทุกคนออกจาก HR หากยังมีคนค้างทุกกลุ่มต้องจายภาษีเพิ่ม 35% </t>
  </si>
  <si>
    <t xml:space="preserve">บังคับซื้อ นักออกแบบดีไซน์ ทุกคนออกจาก HR หากยังมีคนค้างทุกกลุ่มต้องจายภาษีเพิ่ม 35% </t>
  </si>
  <si>
    <t xml:space="preserve">บังคับซื้อ นักทำเอกสาร  ทุกคนออกจาก HR หากยังมีคนค้างทุกกลุ่มต้องจายภาษีเพิ่ม 35% </t>
  </si>
  <si>
    <t xml:space="preserve">บังคับซื้อ นักทดสอบระบบ ทุกคนออกจาก HR หากยังมีคนค้างทุกกลุ่มต้องจายภาษีเพิ่ม 35% </t>
  </si>
  <si>
    <t xml:space="preserve">บังคับซื้อ นัก Present  ทุกคนออกจาก HR หากยังมีคนค้างทุกกลุ่มต้องจายภาษีเพิ่ม 35% </t>
  </si>
  <si>
    <t xml:space="preserve">บังคับซื้อ รองหัวหน้ากลุ่ม ทุกคนออกจาก HR หากยังมีคนค้างทุกกลุ่มต้องจายภาษีเพิ่ม 35% </t>
  </si>
  <si>
    <t xml:space="preserve">บังคับซื้อ หัวหน้ากลุ่ม ทุกคนออกจาก HR หากยังมีคนค้างทุกกลุ่มต้องจายภาษีเพิ่ม 35% </t>
  </si>
  <si>
    <t xml:space="preserve">บังคับซื้อ นักประสานงาน ทุกคนออกจาก HR หากยังมีคนค้างทุกกลุ่มต้องจายภาษีเพิ่ม 35% </t>
  </si>
  <si>
    <t xml:space="preserve">บังคับซื้อ ฝ่ายบุคคล ทุกคนออกจาก HR หากยังมีคนค้างทุกกลุ่มต้องจายภาษีเพิ่ม 35% </t>
  </si>
  <si>
    <t xml:space="preserve">บังคับซื้อ ฝ่ายบัญชี ทุกคนออกจาก HR หากยังมีคนค้างทุกกลุ่มต้องจายภาษีเพิ่ม 35% </t>
  </si>
  <si>
    <t>หัวหน้ากลุ่ม รับสมัคร (จำนวน 1 คน) โดยไม่รับคนเดิม</t>
  </si>
  <si>
    <t>รองหัวหน้ากลุ่ม  รับสมัคร (จำนวน 1 คน) โดยไม่รับคนเดิม</t>
  </si>
  <si>
    <t>นักเขียนโปรแกรม  รับสมัคร (จำนวน X คน) โดยไม่รับคนเดิม</t>
  </si>
  <si>
    <t>นักออกแบบดีไซน์ รับสมัคร (จำนวน X คน) โดยไม่รับคนเดิม</t>
  </si>
  <si>
    <t>นักทำเอกสาร รับสมัคร (จำนวน X คน) โดยไม่รับคนเดิม</t>
  </si>
  <si>
    <t>นักทดสอบระบบ รับสมัคร (จำนวน X คน) โดยไม่รับคนเดิม</t>
  </si>
  <si>
    <t>นัก Present รับสมัคร (จำนวน 1 คน) โดยไม่รับคนเดิม</t>
  </si>
  <si>
    <t>นักประสานงาน รับสมัคร (จำนวน 1 คน) โดยไม่รับคนเดิม</t>
  </si>
  <si>
    <t>ฝ่ายบุคคล  รับสมัคร (จำนวน 1 คน) โดยไม่รับคนเดิม</t>
  </si>
  <si>
    <t xml:space="preserve">ฝ่ายบัญชี รับสมัคร (จำนวน 1 คน)โดยไม่รับคนเดิม </t>
  </si>
  <si>
    <t xml:space="preserve">recruitment </t>
  </si>
  <si>
    <t xml:space="preserve">บังคับรับสมัคร หัวหน้ากลุ่ม โดยจะต้องส่งคำรองรับสมัครไปที่ HR กลาง หากไม่มี จะต้องจายภาษีเพิ่ม 15% </t>
  </si>
  <si>
    <t xml:space="preserve">บังคับรับสมัคร นักเขียนโปรแกรม โดยจะต้องส่งคำรองรับสมัครไปที่ HR กลาง หากไม่มี จะต้องจายภาษีเพิ่ม 15% </t>
  </si>
  <si>
    <t xml:space="preserve">บังคับรับสมัคร นักออกแบบดีไซน์ โดยจะต้องส่งคำรองรับสมัครไปที่ HR กลาง หากไม่มี จะต้องจายภาษีเพิ่ม 15% </t>
  </si>
  <si>
    <t xml:space="preserve">บังคับรับสมัคร นักทำเอกสาร โดยจะต้องส่งคำรองรับสมัครไปที่ HR กลาง หากไม่มี จะต้องจายภาษีเพิ่ม 15% </t>
  </si>
  <si>
    <t xml:space="preserve">บังคับรับสมัคร นัก Present  โดยจะต้องส่งคำรองรับสมัครไปที่ HR กลาง หากไม่มี จะต้องจายภาษีเพิ่ม 15% </t>
  </si>
  <si>
    <t xml:space="preserve">บังคับรับสมัคร นักประสานงาน โดยจะต้องส่งคำรองรับสมัครไปที่ HR กลาง หากไม่มี จะต้องจายภาษีเพิ่ม 15% </t>
  </si>
  <si>
    <t xml:space="preserve">บังคับรับสมัคร ฝ่ายบุคคล โดยจะต้องส่งคำรองรับสมัครไปที่ HR กลาง หากไม่มี จะต้องจายภาษีเพิ่ม 15% </t>
  </si>
  <si>
    <t xml:space="preserve">บังคับรับสมัคร ฝ่ายบัญชี โดยจะต้องส่งคำรองรับสมัครไปที่ HR กลาง หากไม่มี จะต้องจายภาษีเพิ่ม 15% </t>
  </si>
  <si>
    <t>บังคับรับสมัคร รองหัวหน้ากลุ่ม โดยจะต้องส่งคำรองรับสมัครไปที่ HR กลาง หากไม่มี จะต้องจายภาษีเพิ่ม 15%</t>
  </si>
  <si>
    <t>Crisis are rising every 15 minute</t>
  </si>
  <si>
    <t>Rule of Bank</t>
  </si>
  <si>
    <t>การยื่นเรื่องการยืมต่อครั้งการยื่น 1 ครั้ง ใช้เวลาก่อนจะได้รับเงิน 20 นาที
ยืมได้ครั้งละ 5000 ดอกเบี้ยจากการยืม 2.5%</t>
  </si>
  <si>
    <t>การคืน ให้เวลาในการคืนหลังได้รับเงิน 25 นาทีเงินต้นพร้อมดอกเบี้ย</t>
  </si>
  <si>
    <t>กลุ่ม</t>
  </si>
  <si>
    <t>จำนวนเงินขอยืม</t>
  </si>
  <si>
    <t>ธนาคารจายเวลา</t>
  </si>
  <si>
    <t>ธนาคารเรียกคืนเวลา</t>
  </si>
  <si>
    <t>ระยะเวลาจ่าย</t>
  </si>
  <si>
    <t>ระยะเวลาเรียกคืน</t>
  </si>
  <si>
    <t>ปันผลจากการลงทุน ทุกบริษัทได้รับเงิน จากธนาคารกลาง 10000 (ทุก 30 นาที)</t>
  </si>
  <si>
    <t>X</t>
  </si>
  <si>
    <t>จำนวนเงินคืน</t>
  </si>
  <si>
    <t>เวลายืม</t>
  </si>
  <si>
    <t>ลูกค้าต้องเร่ง Project บังคับทุกกลุ่มจ้าง Consult ค่า Consult ต่อครั้ง 1000</t>
  </si>
  <si>
    <t>12:20-12:30</t>
  </si>
  <si>
    <t>12:30-13:30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</si>
</sst>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rgb="FF000000"/>
      <name val="Cordia New"/>
      <family val="2"/>
    </font>
    <font>
      <sz val="11"/>
      <color theme="1"/>
      <name val="Cordia New"/>
      <family val="2"/>
    </font>
    <font>
      <sz val="18"/>
      <color rgb="FFFF0000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Cordia New"/>
      <family val="2"/>
    </font>
    <font>
      <sz val="18"/>
      <color theme="0"/>
      <name val="Cordia New"/>
      <family val="2"/>
    </font>
    <font>
      <sz val="11"/>
      <color rgb="FF000000"/>
      <name val="Cordia New"/>
      <family val="2"/>
    </font>
    <font>
      <b/>
      <sz val="11"/>
      <color theme="0"/>
      <name val="Cordia Ne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2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indent="2"/>
    </xf>
    <xf numFmtId="0" fontId="0" fillId="0" borderId="1" xfId="0" quotePrefix="1" applyBorder="1"/>
    <xf numFmtId="0" fontId="0" fillId="0" borderId="1" xfId="0" quotePrefix="1" applyBorder="1" applyAlignment="1">
      <alignment wrapText="1"/>
    </xf>
    <xf numFmtId="2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 readingOrder="1"/>
    </xf>
    <xf numFmtId="0" fontId="9" fillId="6" borderId="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/>
    <xf numFmtId="21" fontId="0" fillId="8" borderId="1" xfId="0" applyNumberFormat="1" applyFill="1" applyBorder="1" applyAlignment="1">
      <alignment horizontal="center" vertical="center"/>
    </xf>
    <xf numFmtId="2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E9DA-B2BC-461F-B799-1B5FC218DDBA}">
  <dimension ref="A3:L24"/>
  <sheetViews>
    <sheetView topLeftCell="A7" zoomScale="130" zoomScaleNormal="130" workbookViewId="0">
      <selection activeCell="D22" sqref="D22"/>
    </sheetView>
  </sheetViews>
  <sheetFormatPr defaultRowHeight="15" x14ac:dyDescent="0.25"/>
  <cols>
    <col min="1" max="1" width="19.140625" customWidth="1"/>
    <col min="2" max="2" width="19.42578125" customWidth="1"/>
    <col min="3" max="3" width="9.140625" bestFit="1" customWidth="1"/>
    <col min="4" max="4" width="48.85546875" customWidth="1"/>
    <col min="5" max="5" width="40.140625" customWidth="1"/>
    <col min="6" max="6" width="28.7109375" customWidth="1"/>
  </cols>
  <sheetData>
    <row r="3" spans="1:10" x14ac:dyDescent="0.25">
      <c r="A3" t="s">
        <v>0</v>
      </c>
    </row>
    <row r="4" spans="1:10" x14ac:dyDescent="0.25">
      <c r="A4" s="16" t="s">
        <v>20</v>
      </c>
      <c r="B4" s="16" t="s">
        <v>21</v>
      </c>
      <c r="C4" s="16" t="s">
        <v>1</v>
      </c>
      <c r="D4" s="17" t="s">
        <v>2</v>
      </c>
      <c r="E4" s="17" t="s">
        <v>3</v>
      </c>
      <c r="F4" s="17" t="s">
        <v>4</v>
      </c>
      <c r="G4" s="17" t="s">
        <v>15</v>
      </c>
    </row>
    <row r="5" spans="1:10" x14ac:dyDescent="0.25">
      <c r="A5" s="35" t="s">
        <v>5</v>
      </c>
      <c r="B5" s="35"/>
      <c r="C5" s="35"/>
      <c r="D5" s="33" t="s">
        <v>6</v>
      </c>
      <c r="E5" s="33"/>
      <c r="F5" s="33"/>
      <c r="G5" s="33"/>
    </row>
    <row r="6" spans="1:10" ht="105" x14ac:dyDescent="0.25">
      <c r="A6" s="6">
        <v>0.375</v>
      </c>
      <c r="B6" s="6">
        <f>A6 + TIME(0,C6,0)</f>
        <v>0.37986111111111109</v>
      </c>
      <c r="C6" s="7">
        <v>7</v>
      </c>
      <c r="D6" s="8" t="s">
        <v>8</v>
      </c>
      <c r="E6" s="9" t="s">
        <v>11</v>
      </c>
      <c r="F6" s="10" t="s">
        <v>9</v>
      </c>
      <c r="G6" s="5"/>
    </row>
    <row r="7" spans="1:10" ht="105" x14ac:dyDescent="0.25">
      <c r="A7" s="6">
        <f>B6</f>
        <v>0.37986111111111109</v>
      </c>
      <c r="B7" s="6">
        <f>A7 + TIME(0,C7,0)</f>
        <v>0.38541666666666663</v>
      </c>
      <c r="C7" s="7">
        <v>8</v>
      </c>
      <c r="D7" s="8" t="s">
        <v>7</v>
      </c>
      <c r="E7" s="9" t="s">
        <v>11</v>
      </c>
      <c r="F7" s="10" t="s">
        <v>10</v>
      </c>
      <c r="G7" s="5"/>
    </row>
    <row r="8" spans="1:10" x14ac:dyDescent="0.25">
      <c r="A8" s="35" t="s">
        <v>33</v>
      </c>
      <c r="B8" s="35"/>
      <c r="C8" s="35"/>
      <c r="D8" s="34" t="s">
        <v>12</v>
      </c>
      <c r="E8" s="34"/>
      <c r="F8" s="34"/>
      <c r="G8" s="34"/>
    </row>
    <row r="9" spans="1:10" x14ac:dyDescent="0.25">
      <c r="A9" s="6">
        <f>B7</f>
        <v>0.38541666666666663</v>
      </c>
      <c r="B9" s="6">
        <f>A9 + TIME(0,C9,0)</f>
        <v>0.39583333333333331</v>
      </c>
      <c r="C9" s="7">
        <v>15</v>
      </c>
      <c r="D9" s="11" t="s">
        <v>13</v>
      </c>
      <c r="E9" s="12"/>
      <c r="F9" s="10" t="s">
        <v>9</v>
      </c>
      <c r="G9" s="10"/>
    </row>
    <row r="10" spans="1:10" ht="30" x14ac:dyDescent="0.25">
      <c r="A10" s="6">
        <f>B9</f>
        <v>0.39583333333333331</v>
      </c>
      <c r="B10" s="6">
        <f>A10 + TIME(0,C10,0)</f>
        <v>0.4375</v>
      </c>
      <c r="C10" s="7">
        <v>60</v>
      </c>
      <c r="D10" s="8" t="s">
        <v>14</v>
      </c>
      <c r="E10" s="13" t="s">
        <v>16</v>
      </c>
      <c r="F10" s="10" t="s">
        <v>9</v>
      </c>
      <c r="G10" s="10" t="s">
        <v>10</v>
      </c>
    </row>
    <row r="11" spans="1:10" x14ac:dyDescent="0.25">
      <c r="A11" s="35" t="s">
        <v>34</v>
      </c>
      <c r="B11" s="35"/>
      <c r="C11" s="35"/>
      <c r="D11" s="34" t="s">
        <v>17</v>
      </c>
      <c r="E11" s="34"/>
      <c r="F11" s="34"/>
      <c r="G11" s="34"/>
      <c r="J11" t="s">
        <v>37</v>
      </c>
    </row>
    <row r="12" spans="1:10" x14ac:dyDescent="0.25">
      <c r="A12" s="6">
        <f>B10</f>
        <v>0.4375</v>
      </c>
      <c r="B12" s="6">
        <f>A12 + TIME(0,C12,0)</f>
        <v>0.44444444444444442</v>
      </c>
      <c r="C12" s="4">
        <v>10</v>
      </c>
      <c r="D12" s="11" t="s">
        <v>19</v>
      </c>
      <c r="E12" s="5"/>
      <c r="F12" s="10" t="s">
        <v>9</v>
      </c>
      <c r="G12" s="10" t="s">
        <v>10</v>
      </c>
      <c r="J12" t="s">
        <v>36</v>
      </c>
    </row>
    <row r="13" spans="1:10" x14ac:dyDescent="0.25">
      <c r="A13" s="6">
        <f>B12</f>
        <v>0.44444444444444442</v>
      </c>
      <c r="B13" s="6">
        <f>A13 + TIME(0,C13,0)</f>
        <v>0.45138888888888884</v>
      </c>
      <c r="C13" s="4">
        <v>10</v>
      </c>
      <c r="D13" s="11" t="s">
        <v>26</v>
      </c>
      <c r="E13" s="5"/>
      <c r="F13" s="10" t="s">
        <v>9</v>
      </c>
      <c r="G13" s="10" t="s">
        <v>10</v>
      </c>
    </row>
    <row r="14" spans="1:10" x14ac:dyDescent="0.25">
      <c r="A14" s="6">
        <f>B13</f>
        <v>0.45138888888888884</v>
      </c>
      <c r="B14" s="6">
        <f>A14 + TIME(0,C14,0)</f>
        <v>0.46527777777777773</v>
      </c>
      <c r="C14" s="4">
        <v>20</v>
      </c>
      <c r="D14" s="11" t="s">
        <v>22</v>
      </c>
      <c r="E14" s="5"/>
      <c r="F14" s="10" t="s">
        <v>9</v>
      </c>
      <c r="G14" s="10" t="s">
        <v>10</v>
      </c>
      <c r="J14" t="s">
        <v>38</v>
      </c>
    </row>
    <row r="15" spans="1:10" ht="30" x14ac:dyDescent="0.25">
      <c r="A15" s="6">
        <f t="shared" ref="A15:A19" si="0">B14</f>
        <v>0.46527777777777773</v>
      </c>
      <c r="B15" s="6">
        <f t="shared" ref="B15:B19" si="1">A15 + TIME(0,C15,0)</f>
        <v>0.47222222222222215</v>
      </c>
      <c r="C15" s="7">
        <v>10</v>
      </c>
      <c r="D15" s="8" t="s">
        <v>18</v>
      </c>
      <c r="E15" s="13" t="s">
        <v>23</v>
      </c>
      <c r="F15" s="10" t="s">
        <v>9</v>
      </c>
      <c r="G15" s="10" t="s">
        <v>10</v>
      </c>
      <c r="J15" s="2" t="s">
        <v>39</v>
      </c>
    </row>
    <row r="16" spans="1:10" ht="30" x14ac:dyDescent="0.25">
      <c r="A16" s="6">
        <f t="shared" si="0"/>
        <v>0.47222222222222215</v>
      </c>
      <c r="B16" s="6">
        <f t="shared" si="1"/>
        <v>0.47916666666666657</v>
      </c>
      <c r="C16" s="7">
        <v>10</v>
      </c>
      <c r="D16" s="8" t="s">
        <v>30</v>
      </c>
      <c r="E16" s="13" t="s">
        <v>23</v>
      </c>
      <c r="F16" s="10" t="s">
        <v>9</v>
      </c>
      <c r="G16" s="10" t="s">
        <v>10</v>
      </c>
    </row>
    <row r="17" spans="1:12" ht="30" x14ac:dyDescent="0.25">
      <c r="A17" s="6">
        <f t="shared" si="0"/>
        <v>0.47916666666666657</v>
      </c>
      <c r="B17" s="6">
        <f t="shared" si="1"/>
        <v>0.48611111111111099</v>
      </c>
      <c r="C17" s="7">
        <v>10</v>
      </c>
      <c r="D17" s="8" t="s">
        <v>29</v>
      </c>
      <c r="E17" s="13" t="s">
        <v>23</v>
      </c>
      <c r="F17" s="10" t="s">
        <v>9</v>
      </c>
      <c r="G17" s="10" t="s">
        <v>10</v>
      </c>
    </row>
    <row r="18" spans="1:12" ht="30" x14ac:dyDescent="0.25">
      <c r="A18" s="6">
        <f t="shared" si="0"/>
        <v>0.48611111111111099</v>
      </c>
      <c r="B18" s="6">
        <f t="shared" si="1"/>
        <v>0.49305555555555541</v>
      </c>
      <c r="C18" s="7">
        <v>10</v>
      </c>
      <c r="D18" s="8" t="s">
        <v>24</v>
      </c>
      <c r="E18" s="13" t="s">
        <v>25</v>
      </c>
      <c r="F18" s="10" t="s">
        <v>9</v>
      </c>
      <c r="G18" s="10" t="s">
        <v>10</v>
      </c>
    </row>
    <row r="19" spans="1:12" x14ac:dyDescent="0.25">
      <c r="A19" s="6">
        <f t="shared" si="0"/>
        <v>0.49305555555555541</v>
      </c>
      <c r="B19" s="6">
        <f t="shared" si="1"/>
        <v>0.51388888888888873</v>
      </c>
      <c r="C19" s="7">
        <v>30</v>
      </c>
      <c r="D19" s="8" t="s">
        <v>27</v>
      </c>
      <c r="E19" s="13" t="s">
        <v>28</v>
      </c>
      <c r="F19" s="10" t="s">
        <v>9</v>
      </c>
      <c r="G19" s="10" t="s">
        <v>10</v>
      </c>
    </row>
    <row r="20" spans="1:12" x14ac:dyDescent="0.25">
      <c r="A20" s="35" t="s">
        <v>148</v>
      </c>
      <c r="B20" s="35"/>
      <c r="C20" s="35"/>
      <c r="D20" s="34" t="s">
        <v>31</v>
      </c>
      <c r="E20" s="34"/>
      <c r="F20" s="34"/>
      <c r="G20" s="34"/>
    </row>
    <row r="21" spans="1:12" x14ac:dyDescent="0.25">
      <c r="A21" s="35" t="s">
        <v>149</v>
      </c>
      <c r="B21" s="35"/>
      <c r="C21" s="35"/>
      <c r="D21" s="34" t="s">
        <v>32</v>
      </c>
      <c r="E21" s="34"/>
      <c r="F21" s="34"/>
      <c r="G21" s="34"/>
    </row>
    <row r="22" spans="1:12" x14ac:dyDescent="0.25">
      <c r="A22" s="6">
        <v>0.5625</v>
      </c>
      <c r="B22" s="14">
        <v>0.75</v>
      </c>
      <c r="C22" s="4"/>
      <c r="D22" s="15" t="s">
        <v>35</v>
      </c>
      <c r="E22" s="5"/>
      <c r="F22" s="10" t="s">
        <v>9</v>
      </c>
      <c r="G22" s="10" t="s">
        <v>10</v>
      </c>
    </row>
    <row r="23" spans="1:12" x14ac:dyDescent="0.25">
      <c r="C23" s="3"/>
    </row>
    <row r="24" spans="1:12" x14ac:dyDescent="0.25">
      <c r="L24" t="s">
        <v>40</v>
      </c>
    </row>
  </sheetData>
  <mergeCells count="10">
    <mergeCell ref="D5:G5"/>
    <mergeCell ref="D11:G11"/>
    <mergeCell ref="A5:C5"/>
    <mergeCell ref="A11:C11"/>
    <mergeCell ref="D21:G21"/>
    <mergeCell ref="A20:C20"/>
    <mergeCell ref="A8:C8"/>
    <mergeCell ref="A21:C21"/>
    <mergeCell ref="D20:G20"/>
    <mergeCell ref="D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C46C-5941-44B0-91D5-649BDACF8383}">
  <dimension ref="B2:K13"/>
  <sheetViews>
    <sheetView zoomScale="115" zoomScaleNormal="115" workbookViewId="0">
      <selection activeCell="F7" sqref="F7"/>
    </sheetView>
  </sheetViews>
  <sheetFormatPr defaultRowHeight="27.75" x14ac:dyDescent="0.25"/>
  <cols>
    <col min="1" max="1" width="9.140625" style="19"/>
    <col min="2" max="2" width="18.42578125" style="19" customWidth="1"/>
    <col min="3" max="3" width="6.85546875" style="19" bestFit="1" customWidth="1"/>
    <col min="4" max="4" width="10.5703125" style="19" bestFit="1" customWidth="1"/>
    <col min="5" max="5" width="12.140625" style="19" bestFit="1" customWidth="1"/>
    <col min="6" max="6" width="20.28515625" style="19" bestFit="1" customWidth="1"/>
    <col min="7" max="7" width="20.85546875" style="19" customWidth="1"/>
    <col min="8" max="8" width="16.28515625" style="19" customWidth="1"/>
    <col min="9" max="9" width="15.85546875" style="19" customWidth="1"/>
    <col min="10" max="10" width="17.28515625" style="19" customWidth="1"/>
    <col min="11" max="11" width="13.85546875" style="19" customWidth="1"/>
    <col min="12" max="16384" width="9.140625" style="19"/>
  </cols>
  <sheetData>
    <row r="2" spans="2:11" ht="83.25" customHeight="1" x14ac:dyDescent="0.25">
      <c r="B2" s="36" t="s">
        <v>41</v>
      </c>
      <c r="C2" s="37" t="s">
        <v>96</v>
      </c>
      <c r="D2" s="39" t="s">
        <v>42</v>
      </c>
      <c r="E2" s="39" t="s">
        <v>43</v>
      </c>
      <c r="F2" s="39" t="s">
        <v>44</v>
      </c>
      <c r="G2" s="36" t="s">
        <v>45</v>
      </c>
      <c r="H2" s="36" t="s">
        <v>58</v>
      </c>
      <c r="I2" s="36" t="s">
        <v>59</v>
      </c>
      <c r="J2" s="36" t="s">
        <v>60</v>
      </c>
      <c r="K2" s="36" t="s">
        <v>61</v>
      </c>
    </row>
    <row r="3" spans="2:11" x14ac:dyDescent="0.25">
      <c r="B3" s="36"/>
      <c r="C3" s="38"/>
      <c r="D3" s="39"/>
      <c r="E3" s="39"/>
      <c r="F3" s="39"/>
      <c r="G3" s="36"/>
      <c r="H3" s="36"/>
      <c r="I3" s="36"/>
      <c r="J3" s="36"/>
      <c r="K3" s="36"/>
    </row>
    <row r="4" spans="2:11" x14ac:dyDescent="0.25">
      <c r="B4" s="20" t="s">
        <v>46</v>
      </c>
      <c r="C4" s="20">
        <v>3500</v>
      </c>
      <c r="D4" s="23" t="s">
        <v>56</v>
      </c>
      <c r="E4" s="23" t="s">
        <v>56</v>
      </c>
      <c r="F4" s="21" t="s">
        <v>57</v>
      </c>
      <c r="G4" s="21" t="s">
        <v>57</v>
      </c>
      <c r="H4" s="21" t="s">
        <v>57</v>
      </c>
      <c r="I4" s="21" t="s">
        <v>57</v>
      </c>
      <c r="J4" s="21" t="s">
        <v>57</v>
      </c>
      <c r="K4" s="23" t="s">
        <v>56</v>
      </c>
    </row>
    <row r="5" spans="2:11" x14ac:dyDescent="0.25">
      <c r="B5" s="22" t="s">
        <v>47</v>
      </c>
      <c r="C5" s="22">
        <v>3000</v>
      </c>
      <c r="D5" s="23" t="s">
        <v>56</v>
      </c>
      <c r="E5" s="23" t="s">
        <v>56</v>
      </c>
      <c r="F5" s="21" t="s">
        <v>57</v>
      </c>
      <c r="G5" s="21" t="s">
        <v>57</v>
      </c>
      <c r="H5" s="21" t="s">
        <v>57</v>
      </c>
      <c r="I5" s="21" t="s">
        <v>57</v>
      </c>
      <c r="J5" s="21" t="s">
        <v>57</v>
      </c>
      <c r="K5" s="23" t="s">
        <v>56</v>
      </c>
    </row>
    <row r="6" spans="2:11" x14ac:dyDescent="0.25">
      <c r="B6" s="22" t="s">
        <v>48</v>
      </c>
      <c r="C6" s="22">
        <v>1000</v>
      </c>
      <c r="D6" s="21" t="s">
        <v>57</v>
      </c>
      <c r="E6" s="21" t="s">
        <v>57</v>
      </c>
      <c r="F6" s="21" t="s">
        <v>57</v>
      </c>
      <c r="G6" s="21" t="s">
        <v>57</v>
      </c>
      <c r="H6" s="21" t="s">
        <v>57</v>
      </c>
      <c r="I6" s="21" t="s">
        <v>57</v>
      </c>
      <c r="J6" s="21" t="s">
        <v>57</v>
      </c>
      <c r="K6" s="23" t="s">
        <v>56</v>
      </c>
    </row>
    <row r="7" spans="2:11" x14ac:dyDescent="0.25">
      <c r="B7" s="22" t="s">
        <v>49</v>
      </c>
      <c r="C7" s="22">
        <v>500</v>
      </c>
      <c r="D7" s="21" t="s">
        <v>57</v>
      </c>
      <c r="E7" s="21" t="s">
        <v>57</v>
      </c>
      <c r="F7" s="21" t="s">
        <v>57</v>
      </c>
      <c r="G7" s="21" t="s">
        <v>57</v>
      </c>
      <c r="H7" s="21" t="s">
        <v>57</v>
      </c>
      <c r="I7" s="21" t="s">
        <v>57</v>
      </c>
      <c r="J7" s="21" t="s">
        <v>57</v>
      </c>
      <c r="K7" s="23" t="s">
        <v>56</v>
      </c>
    </row>
    <row r="8" spans="2:11" x14ac:dyDescent="0.25">
      <c r="B8" s="22" t="s">
        <v>50</v>
      </c>
      <c r="C8" s="22">
        <v>1500</v>
      </c>
      <c r="D8" s="21" t="s">
        <v>57</v>
      </c>
      <c r="E8" s="21" t="s">
        <v>57</v>
      </c>
      <c r="F8" s="21" t="s">
        <v>57</v>
      </c>
      <c r="G8" s="21" t="s">
        <v>57</v>
      </c>
      <c r="H8" s="21" t="s">
        <v>57</v>
      </c>
      <c r="I8" s="21" t="s">
        <v>57</v>
      </c>
      <c r="J8" s="21" t="s">
        <v>57</v>
      </c>
      <c r="K8" s="23" t="s">
        <v>56</v>
      </c>
    </row>
    <row r="9" spans="2:11" x14ac:dyDescent="0.25">
      <c r="B9" s="22" t="s">
        <v>51</v>
      </c>
      <c r="C9" s="22">
        <v>500</v>
      </c>
      <c r="D9" s="21" t="s">
        <v>57</v>
      </c>
      <c r="E9" s="21" t="s">
        <v>57</v>
      </c>
      <c r="F9" s="21" t="s">
        <v>57</v>
      </c>
      <c r="G9" s="21" t="s">
        <v>57</v>
      </c>
      <c r="H9" s="21" t="s">
        <v>57</v>
      </c>
      <c r="I9" s="21" t="s">
        <v>57</v>
      </c>
      <c r="J9" s="21" t="s">
        <v>57</v>
      </c>
      <c r="K9" s="23" t="s">
        <v>56</v>
      </c>
    </row>
    <row r="10" spans="2:11" x14ac:dyDescent="0.25">
      <c r="B10" s="22" t="s">
        <v>52</v>
      </c>
      <c r="C10" s="22">
        <v>1500</v>
      </c>
      <c r="D10" s="23" t="s">
        <v>56</v>
      </c>
      <c r="E10" s="23" t="s">
        <v>56</v>
      </c>
      <c r="F10" s="21" t="s">
        <v>57</v>
      </c>
      <c r="G10" s="21" t="s">
        <v>57</v>
      </c>
      <c r="H10" s="23" t="s">
        <v>56</v>
      </c>
      <c r="I10" s="21" t="s">
        <v>57</v>
      </c>
      <c r="J10" s="21" t="s">
        <v>57</v>
      </c>
      <c r="K10" s="23" t="s">
        <v>56</v>
      </c>
    </row>
    <row r="11" spans="2:11" x14ac:dyDescent="0.25">
      <c r="B11" s="22" t="s">
        <v>53</v>
      </c>
      <c r="C11" s="22">
        <v>1000</v>
      </c>
      <c r="D11" s="23" t="s">
        <v>56</v>
      </c>
      <c r="E11" s="21" t="s">
        <v>57</v>
      </c>
      <c r="F11" s="21" t="s">
        <v>57</v>
      </c>
      <c r="G11" s="21" t="s">
        <v>57</v>
      </c>
      <c r="H11" s="21" t="s">
        <v>57</v>
      </c>
      <c r="I11" s="23" t="s">
        <v>56</v>
      </c>
      <c r="J11" s="21" t="s">
        <v>57</v>
      </c>
      <c r="K11" s="23" t="s">
        <v>56</v>
      </c>
    </row>
    <row r="12" spans="2:11" x14ac:dyDescent="0.25">
      <c r="B12" s="22" t="s">
        <v>54</v>
      </c>
      <c r="C12" s="22">
        <v>1000</v>
      </c>
      <c r="D12" s="21" t="s">
        <v>57</v>
      </c>
      <c r="E12" s="21" t="s">
        <v>57</v>
      </c>
      <c r="F12" s="23" t="s">
        <v>56</v>
      </c>
      <c r="G12" s="21" t="s">
        <v>57</v>
      </c>
      <c r="H12" s="21" t="s">
        <v>57</v>
      </c>
      <c r="I12" s="21" t="s">
        <v>57</v>
      </c>
      <c r="J12" s="23" t="s">
        <v>56</v>
      </c>
      <c r="K12" s="23" t="s">
        <v>56</v>
      </c>
    </row>
    <row r="13" spans="2:11" x14ac:dyDescent="0.25">
      <c r="B13" s="22" t="s">
        <v>55</v>
      </c>
      <c r="C13" s="22">
        <v>1000</v>
      </c>
      <c r="D13" s="21" t="s">
        <v>57</v>
      </c>
      <c r="E13" s="23" t="s">
        <v>56</v>
      </c>
      <c r="F13" s="21" t="s">
        <v>57</v>
      </c>
      <c r="G13" s="23" t="s">
        <v>56</v>
      </c>
      <c r="H13" s="21" t="s">
        <v>57</v>
      </c>
      <c r="I13" s="21" t="s">
        <v>57</v>
      </c>
      <c r="J13" s="21" t="s">
        <v>57</v>
      </c>
      <c r="K13" s="23" t="s">
        <v>56</v>
      </c>
    </row>
  </sheetData>
  <mergeCells count="10">
    <mergeCell ref="I2:I3"/>
    <mergeCell ref="J2:J3"/>
    <mergeCell ref="K2:K3"/>
    <mergeCell ref="C2:C3"/>
    <mergeCell ref="B2:B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B5611-4C40-48A3-AE88-830CCB05F02C}">
  <dimension ref="B2:H26"/>
  <sheetViews>
    <sheetView topLeftCell="A6" zoomScale="205" zoomScaleNormal="205" workbookViewId="0">
      <selection activeCell="E27" sqref="E27"/>
    </sheetView>
  </sheetViews>
  <sheetFormatPr defaultRowHeight="15" x14ac:dyDescent="0.25"/>
  <cols>
    <col min="2" max="2" width="29.140625" bestFit="1" customWidth="1"/>
    <col min="3" max="3" width="25.5703125" bestFit="1" customWidth="1"/>
    <col min="4" max="4" width="37" bestFit="1" customWidth="1"/>
    <col min="5" max="5" width="27.5703125" bestFit="1" customWidth="1"/>
    <col min="8" max="8" width="68.5703125" customWidth="1"/>
  </cols>
  <sheetData>
    <row r="2" spans="2:8" x14ac:dyDescent="0.25">
      <c r="B2" t="s">
        <v>133</v>
      </c>
    </row>
    <row r="4" spans="2:8" x14ac:dyDescent="0.25">
      <c r="B4" t="s">
        <v>85</v>
      </c>
      <c r="H4" t="s">
        <v>62</v>
      </c>
    </row>
    <row r="5" spans="2:8" ht="16.5" x14ac:dyDescent="0.25">
      <c r="B5" s="27" t="s">
        <v>73</v>
      </c>
      <c r="C5" s="27" t="s">
        <v>74</v>
      </c>
      <c r="D5" s="27" t="s">
        <v>123</v>
      </c>
      <c r="E5" s="27" t="s">
        <v>95</v>
      </c>
      <c r="H5" s="28" t="s">
        <v>98</v>
      </c>
    </row>
    <row r="6" spans="2:8" ht="17.25" customHeight="1" x14ac:dyDescent="0.4">
      <c r="B6" s="26" t="s">
        <v>63</v>
      </c>
      <c r="C6" s="26" t="s">
        <v>75</v>
      </c>
      <c r="D6" s="26" t="s">
        <v>113</v>
      </c>
      <c r="E6" s="25" t="s">
        <v>86</v>
      </c>
      <c r="H6" s="26" t="s">
        <v>109</v>
      </c>
    </row>
    <row r="7" spans="2:8" ht="17.25" customHeight="1" x14ac:dyDescent="0.4">
      <c r="B7" s="24" t="s">
        <v>64</v>
      </c>
      <c r="C7" s="24" t="s">
        <v>76</v>
      </c>
      <c r="D7" s="24" t="s">
        <v>114</v>
      </c>
      <c r="E7" s="25" t="s">
        <v>87</v>
      </c>
      <c r="H7" s="24" t="s">
        <v>108</v>
      </c>
    </row>
    <row r="8" spans="2:8" ht="17.25" customHeight="1" x14ac:dyDescent="0.4">
      <c r="B8" s="24" t="s">
        <v>69</v>
      </c>
      <c r="C8" s="24" t="s">
        <v>77</v>
      </c>
      <c r="D8" s="24" t="s">
        <v>115</v>
      </c>
      <c r="E8" s="25" t="s">
        <v>89</v>
      </c>
      <c r="H8" s="24" t="s">
        <v>103</v>
      </c>
    </row>
    <row r="9" spans="2:8" ht="17.25" customHeight="1" x14ac:dyDescent="0.25">
      <c r="B9" s="24" t="s">
        <v>70</v>
      </c>
      <c r="C9" s="24" t="s">
        <v>78</v>
      </c>
      <c r="D9" s="24" t="s">
        <v>116</v>
      </c>
      <c r="E9" s="26" t="s">
        <v>90</v>
      </c>
      <c r="H9" s="24" t="s">
        <v>104</v>
      </c>
    </row>
    <row r="10" spans="2:8" ht="17.25" customHeight="1" x14ac:dyDescent="0.25">
      <c r="B10" s="24" t="s">
        <v>71</v>
      </c>
      <c r="C10" s="24" t="s">
        <v>79</v>
      </c>
      <c r="D10" s="24" t="s">
        <v>117</v>
      </c>
      <c r="E10" s="24" t="s">
        <v>91</v>
      </c>
      <c r="H10" s="24" t="s">
        <v>105</v>
      </c>
    </row>
    <row r="11" spans="2:8" ht="17.25" customHeight="1" x14ac:dyDescent="0.25">
      <c r="B11" s="24" t="s">
        <v>72</v>
      </c>
      <c r="C11" s="24" t="s">
        <v>80</v>
      </c>
      <c r="D11" s="24" t="s">
        <v>118</v>
      </c>
      <c r="E11" s="24" t="s">
        <v>88</v>
      </c>
      <c r="H11" s="24" t="s">
        <v>106</v>
      </c>
    </row>
    <row r="12" spans="2:8" ht="17.25" customHeight="1" x14ac:dyDescent="0.25">
      <c r="B12" s="24" t="s">
        <v>65</v>
      </c>
      <c r="C12" s="24" t="s">
        <v>81</v>
      </c>
      <c r="D12" s="24" t="s">
        <v>119</v>
      </c>
      <c r="E12" s="24" t="s">
        <v>100</v>
      </c>
      <c r="H12" s="24" t="s">
        <v>107</v>
      </c>
    </row>
    <row r="13" spans="2:8" ht="17.25" customHeight="1" x14ac:dyDescent="0.25">
      <c r="B13" s="24" t="s">
        <v>66</v>
      </c>
      <c r="C13" s="24" t="s">
        <v>82</v>
      </c>
      <c r="D13" s="24" t="s">
        <v>120</v>
      </c>
      <c r="E13" s="24" t="s">
        <v>99</v>
      </c>
      <c r="H13" s="24" t="s">
        <v>110</v>
      </c>
    </row>
    <row r="14" spans="2:8" ht="17.25" customHeight="1" x14ac:dyDescent="0.25">
      <c r="B14" s="24" t="s">
        <v>67</v>
      </c>
      <c r="C14" s="24" t="s">
        <v>83</v>
      </c>
      <c r="D14" s="24" t="s">
        <v>121</v>
      </c>
      <c r="E14" s="24" t="s">
        <v>101</v>
      </c>
      <c r="H14" s="24" t="s">
        <v>111</v>
      </c>
    </row>
    <row r="15" spans="2:8" ht="17.25" customHeight="1" x14ac:dyDescent="0.25">
      <c r="B15" s="24" t="s">
        <v>68</v>
      </c>
      <c r="C15" s="24" t="s">
        <v>84</v>
      </c>
      <c r="D15" s="24" t="s">
        <v>122</v>
      </c>
      <c r="E15" s="24" t="s">
        <v>102</v>
      </c>
      <c r="H15" s="24" t="s">
        <v>112</v>
      </c>
    </row>
    <row r="16" spans="2:8" ht="17.25" x14ac:dyDescent="0.4">
      <c r="B16" s="18"/>
      <c r="C16" s="18"/>
      <c r="D16" s="18"/>
      <c r="E16" s="24" t="s">
        <v>92</v>
      </c>
      <c r="H16" s="24" t="s">
        <v>124</v>
      </c>
    </row>
    <row r="17" spans="2:8" ht="17.25" x14ac:dyDescent="0.4">
      <c r="B17" s="18"/>
      <c r="C17" s="18"/>
      <c r="D17" s="18"/>
      <c r="E17" s="24" t="s">
        <v>93</v>
      </c>
      <c r="H17" s="24" t="s">
        <v>132</v>
      </c>
    </row>
    <row r="18" spans="2:8" ht="34.5" x14ac:dyDescent="0.4">
      <c r="B18" s="18"/>
      <c r="C18" s="18"/>
      <c r="D18" s="18"/>
      <c r="E18" s="24" t="s">
        <v>94</v>
      </c>
      <c r="H18" s="24" t="s">
        <v>125</v>
      </c>
    </row>
    <row r="19" spans="2:8" ht="34.5" x14ac:dyDescent="0.25">
      <c r="E19" s="24" t="s">
        <v>97</v>
      </c>
      <c r="H19" s="24" t="s">
        <v>126</v>
      </c>
    </row>
    <row r="20" spans="2:8" ht="17.25" x14ac:dyDescent="0.25">
      <c r="H20" s="24" t="s">
        <v>127</v>
      </c>
    </row>
    <row r="21" spans="2:8" ht="17.25" x14ac:dyDescent="0.25">
      <c r="H21" s="24" t="s">
        <v>128</v>
      </c>
    </row>
    <row r="22" spans="2:8" ht="17.25" x14ac:dyDescent="0.25">
      <c r="H22" s="24" t="s">
        <v>129</v>
      </c>
    </row>
    <row r="23" spans="2:8" ht="17.25" x14ac:dyDescent="0.25">
      <c r="H23" s="24" t="s">
        <v>130</v>
      </c>
    </row>
    <row r="24" spans="2:8" ht="17.25" x14ac:dyDescent="0.25">
      <c r="H24" s="24" t="s">
        <v>131</v>
      </c>
    </row>
    <row r="25" spans="2:8" ht="17.25" x14ac:dyDescent="0.25">
      <c r="H25" s="24" t="s">
        <v>143</v>
      </c>
    </row>
    <row r="26" spans="2:8" ht="17.25" x14ac:dyDescent="0.25">
      <c r="H26" s="24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CF5B-4079-4561-BB05-0AEA716BA276}">
  <dimension ref="C3:K5"/>
  <sheetViews>
    <sheetView tabSelected="1" topLeftCell="B1" zoomScale="115" zoomScaleNormal="115" workbookViewId="0">
      <selection activeCell="C24" sqref="C24"/>
    </sheetView>
  </sheetViews>
  <sheetFormatPr defaultRowHeight="15" x14ac:dyDescent="0.25"/>
  <cols>
    <col min="3" max="3" width="75.5703125" customWidth="1"/>
    <col min="4" max="4" width="17.42578125" customWidth="1"/>
    <col min="5" max="5" width="15" bestFit="1" customWidth="1"/>
    <col min="6" max="7" width="15" customWidth="1"/>
    <col min="8" max="8" width="15.140625" bestFit="1" customWidth="1"/>
    <col min="9" max="9" width="15.140625" customWidth="1"/>
    <col min="10" max="10" width="18.28515625" customWidth="1"/>
    <col min="11" max="11" width="12.28515625" bestFit="1" customWidth="1"/>
  </cols>
  <sheetData>
    <row r="3" spans="3:11" x14ac:dyDescent="0.25">
      <c r="C3" s="30" t="s">
        <v>134</v>
      </c>
      <c r="D3" s="29" t="s">
        <v>137</v>
      </c>
      <c r="E3" s="29" t="s">
        <v>138</v>
      </c>
      <c r="F3" s="29" t="s">
        <v>146</v>
      </c>
      <c r="G3" s="29" t="s">
        <v>141</v>
      </c>
      <c r="H3" s="29" t="s">
        <v>139</v>
      </c>
      <c r="I3" s="29" t="s">
        <v>142</v>
      </c>
      <c r="J3" s="29" t="s">
        <v>140</v>
      </c>
      <c r="K3" s="29" t="s">
        <v>145</v>
      </c>
    </row>
    <row r="4" spans="3:11" ht="30" x14ac:dyDescent="0.25">
      <c r="C4" s="1" t="s">
        <v>135</v>
      </c>
      <c r="D4" s="7" t="s">
        <v>144</v>
      </c>
      <c r="E4" s="7">
        <v>5000</v>
      </c>
      <c r="F4" s="6">
        <v>0.58333333333333337</v>
      </c>
      <c r="G4" s="7">
        <v>20</v>
      </c>
      <c r="H4" s="32">
        <f>F4 + TIME(0,G4,0)</f>
        <v>0.59722222222222221</v>
      </c>
      <c r="I4" s="7">
        <v>25</v>
      </c>
      <c r="J4" s="31">
        <f>H4 + TIME(0,I4,0)</f>
        <v>0.61458333333333337</v>
      </c>
      <c r="K4" s="7">
        <f>E4*2.5%+E4</f>
        <v>5125</v>
      </c>
    </row>
    <row r="5" spans="3:11" x14ac:dyDescent="0.25">
      <c r="C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Role &amp; Rule</vt:lpstr>
      <vt:lpstr>Crisis Event</vt:lpstr>
      <vt:lpstr>Rule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Tabuang Jandam (TMA)</dc:creator>
  <cp:lastModifiedBy>Tabuang Jandam (TMA)</cp:lastModifiedBy>
  <dcterms:created xsi:type="dcterms:W3CDTF">2026-07-26T08:43:53Z</dcterms:created>
  <dcterms:modified xsi:type="dcterms:W3CDTF">2026-08-02T18:54:58Z</dcterms:modified>
</cp:coreProperties>
</file>